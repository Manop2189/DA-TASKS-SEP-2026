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Lookup_Exercises" sheetId="3" state="visible" r:id="rId3"/>
    <sheet xmlns:r="http://schemas.openxmlformats.org/officeDocument/2006/relationships" name="Formula_Exercises" sheetId="4" state="visible" r:id="rId4"/>
    <sheet xmlns:r="http://schemas.openxmlformats.org/officeDocument/2006/relationships" name="Pivot_Output" sheetId="5" state="visible" r:id="rId5"/>
    <sheet xmlns:r="http://schemas.openxmlformats.org/officeDocument/2006/relationships" name="KPI_Answers" sheetId="6" state="visible" r:id="rId6"/>
    <sheet xmlns:r="http://schemas.openxmlformats.org/officeDocument/2006/relationships" name="Raw_CSV" sheetId="7" state="visible" r:id="rId7"/>
    <sheet xmlns:r="http://schemas.openxmlformats.org/officeDocument/2006/relationships" name="Power_Query_Guide" sheetId="8" state="visible" r:id="rId8"/>
    <sheet xmlns:r="http://schemas.openxmlformats.org/officeDocument/2006/relationships" name="Interview_Explan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4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alesTable" displayName="SalesTable" ref="A1:H21" headerRowCount="1">
  <autoFilter ref="A1:H21"/>
  <tableColumns count="8">
    <tableColumn id="1" name="Sale_ID"/>
    <tableColumn id="2" name="Date"/>
    <tableColumn id="3" name="Category"/>
    <tableColumn id="4" name="Region"/>
    <tableColumn id="5" name="Salesperson"/>
    <tableColumn id="6" name="Unit_Price"/>
    <tableColumn id="7" name="Quantity"/>
    <tableColumn id="8" name="Sal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LookupTable" displayName="LookupTable" ref="A1:C5" headerRowCount="1">
  <autoFilter ref="A1:C5"/>
  <tableColumns count="3">
    <tableColumn id="1" name="Category"/>
    <tableColumn id="2" name="Category_Manager"/>
    <tableColumn id="3" name="Target_Margin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2" customWidth="1" min="4" max="4"/>
  </cols>
  <sheetData>
    <row r="1">
      <c r="A1" s="1" t="inlineStr">
        <is>
          <t>Day 5 – Advanced Excel | Beginner-Friendly Workbook</t>
        </is>
      </c>
    </row>
    <row r="3">
      <c r="A3" s="2" t="inlineStr">
        <is>
          <t>Purpose</t>
        </is>
      </c>
      <c r="B3" t="inlineStr">
        <is>
          <t>Complete the supporting exercises first, then build the Pivot Table, clean the raw CSV-style data, and calculate the 3 KPIs.</t>
        </is>
      </c>
    </row>
    <row r="5">
      <c r="A5" s="2" t="inlineStr">
        <is>
          <t>Important</t>
        </is>
      </c>
      <c r="B5" t="inlineStr">
        <is>
          <t>This workbook uses a small practice dataset so you can understand the steps. In Excel, replace the sample data with your mentor's real data if provided.</t>
        </is>
      </c>
    </row>
    <row r="7">
      <c r="A7" s="2" t="inlineStr">
        <is>
          <t>Expected submission</t>
        </is>
      </c>
      <c r="B7" t="inlineStr">
        <is>
          <t>Save as day5_advanced_excel.xlsx, upload to GitHub, and reply to your mentor's email with the file/link.</t>
        </is>
      </c>
    </row>
    <row r="9">
      <c r="A9" s="2" t="inlineStr">
        <is>
          <t>Power Query</t>
        </is>
      </c>
      <c r="B9" t="inlineStr">
        <is>
          <t>The workbook includes a messy Raw_CSV sheet for practice. The actual Power Query transformation is documented on the Power_Query_Guide sheet.</t>
        </is>
      </c>
    </row>
  </sheetData>
  <mergeCells count="5">
    <mergeCell ref="A1:D1"/>
    <mergeCell ref="B3:D3"/>
    <mergeCell ref="B5:D5"/>
    <mergeCell ref="B9:D9"/>
    <mergeCell ref="B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Sale_ID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Region</t>
        </is>
      </c>
      <c r="E1" s="3" t="inlineStr">
        <is>
          <t>Salesperson</t>
        </is>
      </c>
      <c r="F1" s="3" t="inlineStr">
        <is>
          <t>Unit_Price</t>
        </is>
      </c>
      <c r="G1" s="3" t="inlineStr">
        <is>
          <t>Quantity</t>
        </is>
      </c>
      <c r="H1" s="3" t="inlineStr">
        <is>
          <t>Sales</t>
        </is>
      </c>
    </row>
    <row r="2">
      <c r="A2" t="n">
        <v>1001</v>
      </c>
      <c r="B2" s="4" t="inlineStr">
        <is>
          <t>2026-09-01</t>
        </is>
      </c>
      <c r="C2" t="inlineStr">
        <is>
          <t>Laptop</t>
        </is>
      </c>
      <c r="D2" t="inlineStr">
        <is>
          <t>North</t>
        </is>
      </c>
      <c r="E2" t="inlineStr">
        <is>
          <t>Anu</t>
        </is>
      </c>
      <c r="F2" s="5" t="n">
        <v>65000</v>
      </c>
      <c r="G2" t="n">
        <v>1</v>
      </c>
      <c r="H2" s="5" t="n">
        <v>65000</v>
      </c>
    </row>
    <row r="3">
      <c r="A3" t="n">
        <v>1002</v>
      </c>
      <c r="B3" s="4" t="inlineStr">
        <is>
          <t>2026-09-01</t>
        </is>
      </c>
      <c r="C3" t="inlineStr">
        <is>
          <t>Mouse</t>
        </is>
      </c>
      <c r="D3" t="inlineStr">
        <is>
          <t>South</t>
        </is>
      </c>
      <c r="E3" t="inlineStr">
        <is>
          <t>Bala</t>
        </is>
      </c>
      <c r="F3" s="5" t="n">
        <v>1200</v>
      </c>
      <c r="G3" t="n">
        <v>3</v>
      </c>
      <c r="H3" s="5" t="n">
        <v>3600</v>
      </c>
    </row>
    <row r="4">
      <c r="A4" t="n">
        <v>1003</v>
      </c>
      <c r="B4" s="4" t="inlineStr">
        <is>
          <t>2026-09-02</t>
        </is>
      </c>
      <c r="C4" t="inlineStr">
        <is>
          <t>Keyboard</t>
        </is>
      </c>
      <c r="D4" t="inlineStr">
        <is>
          <t>East</t>
        </is>
      </c>
      <c r="E4" t="inlineStr">
        <is>
          <t>Charan</t>
        </is>
      </c>
      <c r="F4" s="5" t="n">
        <v>2500</v>
      </c>
      <c r="G4" t="n">
        <v>2</v>
      </c>
      <c r="H4" s="5" t="n">
        <v>5000</v>
      </c>
    </row>
    <row r="5">
      <c r="A5" t="n">
        <v>1004</v>
      </c>
      <c r="B5" s="4" t="inlineStr">
        <is>
          <t>2026-09-03</t>
        </is>
      </c>
      <c r="C5" t="inlineStr">
        <is>
          <t>Monitor</t>
        </is>
      </c>
      <c r="D5" t="inlineStr">
        <is>
          <t>West</t>
        </is>
      </c>
      <c r="E5" t="inlineStr">
        <is>
          <t>Divya</t>
        </is>
      </c>
      <c r="F5" s="5" t="n">
        <v>18000</v>
      </c>
      <c r="G5" t="n">
        <v>1</v>
      </c>
      <c r="H5" s="5" t="n">
        <v>18000</v>
      </c>
    </row>
    <row r="6">
      <c r="A6" t="n">
        <v>1005</v>
      </c>
      <c r="B6" s="4" t="inlineStr">
        <is>
          <t>2026-09-04</t>
        </is>
      </c>
      <c r="C6" t="inlineStr">
        <is>
          <t>Laptop</t>
        </is>
      </c>
      <c r="D6" t="inlineStr">
        <is>
          <t>South</t>
        </is>
      </c>
      <c r="E6" t="inlineStr">
        <is>
          <t>Bala</t>
        </is>
      </c>
      <c r="F6" s="5" t="n">
        <v>70000</v>
      </c>
      <c r="G6" t="n">
        <v>1</v>
      </c>
      <c r="H6" s="5" t="n">
        <v>70000</v>
      </c>
    </row>
    <row r="7">
      <c r="A7" t="n">
        <v>1006</v>
      </c>
      <c r="B7" s="4" t="inlineStr">
        <is>
          <t>2026-09-05</t>
        </is>
      </c>
      <c r="C7" t="inlineStr">
        <is>
          <t>Mouse</t>
        </is>
      </c>
      <c r="D7" t="inlineStr">
        <is>
          <t>North</t>
        </is>
      </c>
      <c r="E7" t="inlineStr">
        <is>
          <t>Anu</t>
        </is>
      </c>
      <c r="F7" s="5" t="n">
        <v>1500</v>
      </c>
      <c r="G7" t="n">
        <v>4</v>
      </c>
      <c r="H7" s="5" t="n">
        <v>6000</v>
      </c>
    </row>
    <row r="8">
      <c r="A8" t="n">
        <v>1007</v>
      </c>
      <c r="B8" s="4" t="inlineStr">
        <is>
          <t>2026-09-06</t>
        </is>
      </c>
      <c r="C8" t="inlineStr">
        <is>
          <t>Keyboard</t>
        </is>
      </c>
      <c r="D8" t="inlineStr">
        <is>
          <t>East</t>
        </is>
      </c>
      <c r="E8" t="inlineStr">
        <is>
          <t>Charan</t>
        </is>
      </c>
      <c r="F8" s="5" t="n">
        <v>3000</v>
      </c>
      <c r="G8" t="n">
        <v>1</v>
      </c>
      <c r="H8" s="5" t="n">
        <v>3000</v>
      </c>
    </row>
    <row r="9">
      <c r="A9" t="n">
        <v>1008</v>
      </c>
      <c r="B9" s="4" t="inlineStr">
        <is>
          <t>2026-09-07</t>
        </is>
      </c>
      <c r="C9" t="inlineStr">
        <is>
          <t>Monitor</t>
        </is>
      </c>
      <c r="D9" t="inlineStr">
        <is>
          <t>West</t>
        </is>
      </c>
      <c r="E9" t="inlineStr">
        <is>
          <t>Divya</t>
        </is>
      </c>
      <c r="F9" s="5" t="n">
        <v>20000</v>
      </c>
      <c r="G9" t="n">
        <v>2</v>
      </c>
      <c r="H9" s="5" t="n">
        <v>40000</v>
      </c>
    </row>
    <row r="10">
      <c r="A10" t="n">
        <v>1009</v>
      </c>
      <c r="B10" s="4" t="inlineStr">
        <is>
          <t>2026-09-08</t>
        </is>
      </c>
      <c r="C10" t="inlineStr">
        <is>
          <t>Laptop</t>
        </is>
      </c>
      <c r="D10" t="inlineStr">
        <is>
          <t>North</t>
        </is>
      </c>
      <c r="E10" t="inlineStr">
        <is>
          <t>Anu</t>
        </is>
      </c>
      <c r="F10" s="5" t="n">
        <v>62000</v>
      </c>
      <c r="G10" t="n">
        <v>1</v>
      </c>
      <c r="H10" s="5" t="n">
        <v>62000</v>
      </c>
    </row>
    <row r="11">
      <c r="A11" t="n">
        <v>1010</v>
      </c>
      <c r="B11" s="4" t="inlineStr">
        <is>
          <t>2026-09-09</t>
        </is>
      </c>
      <c r="C11" t="inlineStr">
        <is>
          <t>Mouse</t>
        </is>
      </c>
      <c r="D11" t="inlineStr">
        <is>
          <t>South</t>
        </is>
      </c>
      <c r="E11" t="inlineStr">
        <is>
          <t>Bala</t>
        </is>
      </c>
      <c r="F11" s="5" t="n">
        <v>1000</v>
      </c>
      <c r="G11" t="n">
        <v>5</v>
      </c>
      <c r="H11" s="5" t="n">
        <v>5000</v>
      </c>
    </row>
    <row r="12">
      <c r="A12" t="n">
        <v>1011</v>
      </c>
      <c r="B12" s="4" t="inlineStr">
        <is>
          <t>2026-09-10</t>
        </is>
      </c>
      <c r="C12" t="inlineStr">
        <is>
          <t>Keyboard</t>
        </is>
      </c>
      <c r="D12" t="inlineStr">
        <is>
          <t>East</t>
        </is>
      </c>
      <c r="E12" t="inlineStr">
        <is>
          <t>Charan</t>
        </is>
      </c>
      <c r="F12" s="5" t="n">
        <v>2800</v>
      </c>
      <c r="G12" t="n">
        <v>3</v>
      </c>
      <c r="H12" s="5" t="n">
        <v>8400</v>
      </c>
    </row>
    <row r="13">
      <c r="A13" t="n">
        <v>1012</v>
      </c>
      <c r="B13" s="4" t="inlineStr">
        <is>
          <t>2026-09-11</t>
        </is>
      </c>
      <c r="C13" t="inlineStr">
        <is>
          <t>Monitor</t>
        </is>
      </c>
      <c r="D13" t="inlineStr">
        <is>
          <t>West</t>
        </is>
      </c>
      <c r="E13" t="inlineStr">
        <is>
          <t>Divya</t>
        </is>
      </c>
      <c r="F13" s="5" t="n">
        <v>19500</v>
      </c>
      <c r="G13" t="n">
        <v>1</v>
      </c>
      <c r="H13" s="5" t="n">
        <v>19500</v>
      </c>
    </row>
    <row r="14">
      <c r="A14" t="n">
        <v>1013</v>
      </c>
      <c r="B14" s="4" t="inlineStr">
        <is>
          <t>2026-09-12</t>
        </is>
      </c>
      <c r="C14" t="inlineStr">
        <is>
          <t>Laptop</t>
        </is>
      </c>
      <c r="D14" t="inlineStr">
        <is>
          <t>South</t>
        </is>
      </c>
      <c r="E14" t="inlineStr">
        <is>
          <t>Bala</t>
        </is>
      </c>
      <c r="F14" s="5" t="n">
        <v>68000</v>
      </c>
      <c r="G14" t="n">
        <v>2</v>
      </c>
      <c r="H14" s="5" t="n">
        <v>136000</v>
      </c>
    </row>
    <row r="15">
      <c r="A15" t="n">
        <v>1014</v>
      </c>
      <c r="B15" s="4" t="inlineStr">
        <is>
          <t>2026-09-13</t>
        </is>
      </c>
      <c r="C15" t="inlineStr">
        <is>
          <t>Mouse</t>
        </is>
      </c>
      <c r="D15" t="inlineStr">
        <is>
          <t>North</t>
        </is>
      </c>
      <c r="E15" t="inlineStr">
        <is>
          <t>Anu</t>
        </is>
      </c>
      <c r="F15" s="5" t="n">
        <v>1100</v>
      </c>
      <c r="G15" t="n">
        <v>2</v>
      </c>
      <c r="H15" s="5" t="n">
        <v>2200</v>
      </c>
    </row>
    <row r="16">
      <c r="A16" t="n">
        <v>1015</v>
      </c>
      <c r="B16" s="4" t="inlineStr">
        <is>
          <t>2026-09-14</t>
        </is>
      </c>
      <c r="C16" t="inlineStr">
        <is>
          <t>Keyboard</t>
        </is>
      </c>
      <c r="D16" t="inlineStr">
        <is>
          <t>East</t>
        </is>
      </c>
      <c r="E16" t="inlineStr">
        <is>
          <t>Charan</t>
        </is>
      </c>
      <c r="F16" s="5" t="n">
        <v>2600</v>
      </c>
      <c r="G16" t="n">
        <v>4</v>
      </c>
      <c r="H16" s="5" t="n">
        <v>10400</v>
      </c>
    </row>
    <row r="17">
      <c r="A17" t="n">
        <v>1016</v>
      </c>
      <c r="B17" s="4" t="inlineStr">
        <is>
          <t>2026-09-15</t>
        </is>
      </c>
      <c r="C17" t="inlineStr">
        <is>
          <t>Monitor</t>
        </is>
      </c>
      <c r="D17" t="inlineStr">
        <is>
          <t>West</t>
        </is>
      </c>
      <c r="E17" t="inlineStr">
        <is>
          <t>Divya</t>
        </is>
      </c>
      <c r="F17" s="5" t="n">
        <v>21000</v>
      </c>
      <c r="G17" t="n">
        <v>1</v>
      </c>
      <c r="H17" s="5" t="n">
        <v>21000</v>
      </c>
    </row>
    <row r="18">
      <c r="A18" t="n">
        <v>1017</v>
      </c>
      <c r="B18" s="4" t="inlineStr">
        <is>
          <t>2026-09-16</t>
        </is>
      </c>
      <c r="C18" t="inlineStr">
        <is>
          <t>Laptop</t>
        </is>
      </c>
      <c r="D18" t="inlineStr">
        <is>
          <t>North</t>
        </is>
      </c>
      <c r="E18" t="inlineStr">
        <is>
          <t>Anu</t>
        </is>
      </c>
      <c r="F18" s="5" t="n">
        <v>64000</v>
      </c>
      <c r="G18" t="n">
        <v>1</v>
      </c>
      <c r="H18" s="5" t="n">
        <v>64000</v>
      </c>
    </row>
    <row r="19">
      <c r="A19" t="n">
        <v>1018</v>
      </c>
      <c r="B19" s="4" t="inlineStr">
        <is>
          <t>2026-09-17</t>
        </is>
      </c>
      <c r="C19" t="inlineStr">
        <is>
          <t>Mouse</t>
        </is>
      </c>
      <c r="D19" t="inlineStr">
        <is>
          <t>South</t>
        </is>
      </c>
      <c r="E19" t="inlineStr">
        <is>
          <t>Bala</t>
        </is>
      </c>
      <c r="F19" s="5" t="n">
        <v>1300</v>
      </c>
      <c r="G19" t="n">
        <v>3</v>
      </c>
      <c r="H19" s="5" t="n">
        <v>3900</v>
      </c>
    </row>
    <row r="20">
      <c r="A20" t="n">
        <v>1019</v>
      </c>
      <c r="B20" s="4" t="inlineStr">
        <is>
          <t>2026-09-18</t>
        </is>
      </c>
      <c r="C20" t="inlineStr">
        <is>
          <t>Keyboard</t>
        </is>
      </c>
      <c r="D20" t="inlineStr">
        <is>
          <t>East</t>
        </is>
      </c>
      <c r="E20" t="inlineStr">
        <is>
          <t>Charan</t>
        </is>
      </c>
      <c r="F20" s="5" t="n">
        <v>2700</v>
      </c>
      <c r="G20" t="n">
        <v>2</v>
      </c>
      <c r="H20" s="5" t="n">
        <v>5400</v>
      </c>
    </row>
    <row r="21">
      <c r="A21" t="n">
        <v>1020</v>
      </c>
      <c r="B21" s="4" t="inlineStr">
        <is>
          <t>2026-09-19</t>
        </is>
      </c>
      <c r="C21" t="inlineStr">
        <is>
          <t>Monitor</t>
        </is>
      </c>
      <c r="D21" t="inlineStr">
        <is>
          <t>West</t>
        </is>
      </c>
      <c r="E21" t="inlineStr">
        <is>
          <t>Divya</t>
        </is>
      </c>
      <c r="F21" s="5" t="n">
        <v>20500</v>
      </c>
      <c r="G21" t="n">
        <v>2</v>
      </c>
      <c r="H21" s="5" t="n">
        <v>41000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37" customWidth="1" min="5" max="5"/>
    <col width="42" customWidth="1" min="6" max="6"/>
  </cols>
  <sheetData>
    <row r="1">
      <c r="A1" s="3" t="inlineStr">
        <is>
          <t>Category</t>
        </is>
      </c>
      <c r="B1" s="3" t="inlineStr">
        <is>
          <t>Category_Manager</t>
        </is>
      </c>
      <c r="C1" s="3" t="inlineStr">
        <is>
          <t>Target_Margin</t>
        </is>
      </c>
      <c r="E1" s="3" t="inlineStr">
        <is>
          <t>Exercise</t>
        </is>
      </c>
      <c r="F1" s="3" t="inlineStr">
        <is>
          <t>Formula / Answer</t>
        </is>
      </c>
    </row>
    <row r="2">
      <c r="A2" t="inlineStr">
        <is>
          <t>Laptop</t>
        </is>
      </c>
      <c r="B2" t="inlineStr">
        <is>
          <t>Anu</t>
        </is>
      </c>
      <c r="C2" s="6" t="n">
        <v>0.2</v>
      </c>
      <c r="E2" t="inlineStr">
        <is>
          <t>XLOOKUP category manager for Laptop</t>
        </is>
      </c>
      <c r="F2">
        <f>XLOOKUP("Laptop",A2:A5,B2:B5,"Not Found")</f>
        <v/>
      </c>
    </row>
    <row r="3">
      <c r="A3" t="inlineStr">
        <is>
          <t>Mouse</t>
        </is>
      </c>
      <c r="B3" t="inlineStr">
        <is>
          <t>Bala</t>
        </is>
      </c>
      <c r="C3" s="6" t="n">
        <v>0.15</v>
      </c>
      <c r="E3" t="inlineStr">
        <is>
          <t>VLOOKUP target margin for Monitor</t>
        </is>
      </c>
      <c r="F3" s="6">
        <f>VLOOKUP("Monitor",A2:C5,3,FALSE)</f>
        <v/>
      </c>
    </row>
    <row r="4">
      <c r="A4" t="inlineStr">
        <is>
          <t>Keyboard</t>
        </is>
      </c>
      <c r="B4" t="inlineStr">
        <is>
          <t>Charan</t>
        </is>
      </c>
      <c r="C4" s="6" t="n">
        <v>0.18</v>
      </c>
      <c r="E4" t="inlineStr">
        <is>
          <t>INDEX-MATCH target margin for Mouse</t>
        </is>
      </c>
      <c r="F4" s="6">
        <f>INDEX(C2:C5,MATCH("Mouse",A2:A5,0))</f>
        <v/>
      </c>
    </row>
    <row r="5">
      <c r="A5" t="inlineStr">
        <is>
          <t>Monitor</t>
        </is>
      </c>
      <c r="B5" t="inlineStr">
        <is>
          <t>Divya</t>
        </is>
      </c>
      <c r="C5" s="6" t="n">
        <v>0.22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7" customWidth="1" min="3" max="3"/>
  </cols>
  <sheetData>
    <row r="1">
      <c r="A1" s="3" t="inlineStr">
        <is>
          <t>Exercise</t>
        </is>
      </c>
      <c r="B1" s="3" t="inlineStr">
        <is>
          <t>Formula</t>
        </is>
      </c>
      <c r="C1" s="3" t="inlineStr">
        <is>
          <t>Expected Output</t>
        </is>
      </c>
    </row>
    <row r="2">
      <c r="A2" t="inlineStr">
        <is>
          <t>IF: classify sale</t>
        </is>
      </c>
      <c r="B2">
        <f>IF(Sales_Data!H2&gt;=50000,"High","Normal")</f>
        <v/>
      </c>
      <c r="C2" t="inlineStr">
        <is>
          <t>High</t>
        </is>
      </c>
    </row>
    <row r="3">
      <c r="A3" t="inlineStr">
        <is>
          <t>IFS: classify sale</t>
        </is>
      </c>
      <c r="B3">
        <f>IFS(Sales_Data!H2&gt;=100000,"Very High",Sales_Data!H2&gt;=50000,"High",TRUE,"Normal")</f>
        <v/>
      </c>
      <c r="C3" t="inlineStr">
        <is>
          <t>High</t>
        </is>
      </c>
    </row>
    <row r="4">
      <c r="A4" t="inlineStr">
        <is>
          <t>SUMIFS: South sales</t>
        </is>
      </c>
      <c r="B4">
        <f>SUMIFS(Sales_Data!H:H,Sales_Data!D:D,"South")</f>
        <v/>
      </c>
      <c r="C4" s="5" t="n">
        <v>218500</v>
      </c>
    </row>
    <row r="5">
      <c r="A5" t="inlineStr">
        <is>
          <t>COUNTIFS: North laptop rows</t>
        </is>
      </c>
      <c r="B5">
        <f>COUNTIFS(Sales_Data!D:D,"North",Sales_Data!C:C,"Laptop")</f>
        <v/>
      </c>
      <c r="C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7" t="inlineStr">
        <is>
          <t>Expected Pivot Summary – Sales by Category and Region</t>
        </is>
      </c>
    </row>
    <row r="3">
      <c r="A3" s="3" t="inlineStr">
        <is>
          <t>Category</t>
        </is>
      </c>
      <c r="B3" s="3" t="inlineStr">
        <is>
          <t>East</t>
        </is>
      </c>
      <c r="C3" s="3" t="inlineStr">
        <is>
          <t>North</t>
        </is>
      </c>
      <c r="D3" s="3" t="inlineStr">
        <is>
          <t>South</t>
        </is>
      </c>
      <c r="E3" s="3" t="inlineStr">
        <is>
          <t>West</t>
        </is>
      </c>
      <c r="F3" s="3" t="inlineStr">
        <is>
          <t>Grand Total</t>
        </is>
      </c>
    </row>
    <row r="4">
      <c r="A4" t="inlineStr">
        <is>
          <t>Keyboard</t>
        </is>
      </c>
      <c r="B4" s="5" t="n">
        <v>32200</v>
      </c>
      <c r="C4" s="5" t="n">
        <v>0</v>
      </c>
      <c r="D4" s="5" t="n">
        <v>0</v>
      </c>
      <c r="E4" s="5" t="n">
        <v>0</v>
      </c>
      <c r="F4" s="5" t="n">
        <v>32200</v>
      </c>
    </row>
    <row r="5">
      <c r="A5" t="inlineStr">
        <is>
          <t>Laptop</t>
        </is>
      </c>
      <c r="B5" s="5" t="n">
        <v>0</v>
      </c>
      <c r="C5" s="5" t="n">
        <v>191000</v>
      </c>
      <c r="D5" s="5" t="n">
        <v>206000</v>
      </c>
      <c r="E5" s="5" t="n">
        <v>0</v>
      </c>
      <c r="F5" s="5" t="n">
        <v>397000</v>
      </c>
    </row>
    <row r="6">
      <c r="A6" t="inlineStr">
        <is>
          <t>Monitor</t>
        </is>
      </c>
      <c r="B6" s="5" t="n">
        <v>0</v>
      </c>
      <c r="C6" s="5" t="n">
        <v>0</v>
      </c>
      <c r="D6" s="5" t="n">
        <v>0</v>
      </c>
      <c r="E6" s="5" t="n">
        <v>139500</v>
      </c>
      <c r="F6" s="5" t="n">
        <v>139500</v>
      </c>
    </row>
    <row r="7">
      <c r="A7" t="inlineStr">
        <is>
          <t>Mouse</t>
        </is>
      </c>
      <c r="B7" s="5" t="n">
        <v>0</v>
      </c>
      <c r="C7" s="5" t="n">
        <v>8200</v>
      </c>
      <c r="D7" s="5" t="n">
        <v>12500</v>
      </c>
      <c r="E7" s="5" t="n">
        <v>0</v>
      </c>
      <c r="F7" s="5" t="n">
        <v>20700</v>
      </c>
    </row>
    <row r="8">
      <c r="A8" t="inlineStr">
        <is>
          <t>Grand Total</t>
        </is>
      </c>
      <c r="B8" s="5" t="n">
        <v>32200</v>
      </c>
      <c r="C8" s="5" t="n">
        <v>199200</v>
      </c>
      <c r="D8" s="5" t="n">
        <v>218500</v>
      </c>
      <c r="E8" s="5" t="n">
        <v>139500</v>
      </c>
      <c r="F8" s="5" t="n">
        <v>589400</v>
      </c>
    </row>
    <row r="10">
      <c r="A10" s="2" t="inlineStr">
        <is>
          <t>How to build the actual PivotTable in Excel:</t>
        </is>
      </c>
    </row>
    <row r="11">
      <c r="A11" t="inlineStr">
        <is>
          <t>1. Select Sales_Data!A1:H21.</t>
        </is>
      </c>
    </row>
    <row r="12">
      <c r="A12" t="inlineStr">
        <is>
          <t>2. Insert → PivotTable → New Worksheet.</t>
        </is>
      </c>
    </row>
    <row r="13">
      <c r="A13" t="inlineStr">
        <is>
          <t>3. Put Category in Rows.</t>
        </is>
      </c>
    </row>
    <row r="14">
      <c r="A14" t="inlineStr">
        <is>
          <t>4. Put Region in Columns.</t>
        </is>
      </c>
    </row>
    <row r="15">
      <c r="A15" t="inlineStr">
        <is>
          <t>5. Put Sales in Values and make sure it is Sum of Sales.</t>
        </is>
      </c>
    </row>
    <row r="16">
      <c r="A16" t="inlineStr">
        <is>
          <t>6. Optional: put Date in Columns and group by Months if your mentor wants a monthly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17" customWidth="1" min="3" max="3"/>
  </cols>
  <sheetData>
    <row r="1">
      <c r="A1" s="7" t="inlineStr">
        <is>
          <t>3 KPI Formulas</t>
        </is>
      </c>
    </row>
    <row r="3">
      <c r="A3" s="3" t="inlineStr">
        <is>
          <t>KPI</t>
        </is>
      </c>
      <c r="B3" s="3" t="inlineStr">
        <is>
          <t>Formula</t>
        </is>
      </c>
      <c r="C3" s="3" t="inlineStr">
        <is>
          <t>Expected Output</t>
        </is>
      </c>
    </row>
    <row r="4">
      <c r="A4" t="inlineStr">
        <is>
          <t>Total Sales</t>
        </is>
      </c>
      <c r="B4" s="5">
        <f>SUM(Sales_Data!H2:H21)</f>
        <v/>
      </c>
      <c r="C4" s="5" t="n">
        <v>589400</v>
      </c>
    </row>
    <row r="5">
      <c r="A5" t="inlineStr">
        <is>
          <t>Average Order Value</t>
        </is>
      </c>
      <c r="B5" s="5">
        <f>AVERAGE(Sales_Data!H2:H21)</f>
        <v/>
      </c>
      <c r="C5" s="5" t="n">
        <v>29470</v>
      </c>
    </row>
    <row r="6">
      <c r="A6" t="inlineStr">
        <is>
          <t>% Growth (example: Sep vs Aug)</t>
        </is>
      </c>
      <c r="B6" s="8">
        <f>IFERROR((578900-500000)/500000,0)</f>
        <v/>
      </c>
      <c r="C6" s="8" t="n">
        <v>0.1788</v>
      </c>
    </row>
    <row r="8">
      <c r="A8" t="inlineStr">
        <is>
          <t>Note: Growth needs two time periods. Here 500,000 is a practice prior-period value.</t>
        </is>
      </c>
    </row>
  </sheetData>
  <mergeCells count="1">
    <mergeCell ref="A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Sale_ID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Region</t>
        </is>
      </c>
      <c r="E1" s="3" t="inlineStr">
        <is>
          <t>Salesperson</t>
        </is>
      </c>
      <c r="F1" s="3" t="inlineStr">
        <is>
          <t>Unit_Price</t>
        </is>
      </c>
      <c r="G1" s="3" t="inlineStr">
        <is>
          <t>Quantity</t>
        </is>
      </c>
      <c r="H1" s="3" t="inlineStr">
        <is>
          <t>Sales</t>
        </is>
      </c>
    </row>
    <row r="2">
      <c r="A2" t="inlineStr">
        <is>
          <t xml:space="preserve"> 2001 </t>
        </is>
      </c>
      <c r="B2" t="inlineStr">
        <is>
          <t xml:space="preserve"> 2026/09/01 </t>
        </is>
      </c>
      <c r="C2" t="inlineStr">
        <is>
          <t xml:space="preserve"> laptop </t>
        </is>
      </c>
      <c r="D2" t="inlineStr">
        <is>
          <t xml:space="preserve"> north </t>
        </is>
      </c>
      <c r="E2" t="inlineStr">
        <is>
          <t xml:space="preserve"> Anu </t>
        </is>
      </c>
      <c r="F2" t="inlineStr">
        <is>
          <t xml:space="preserve">65000 </t>
        </is>
      </c>
      <c r="G2" t="inlineStr">
        <is>
          <t xml:space="preserve">1 </t>
        </is>
      </c>
      <c r="H2" t="inlineStr">
        <is>
          <t>65000</t>
        </is>
      </c>
    </row>
    <row r="3">
      <c r="A3" t="inlineStr">
        <is>
          <t>2002</t>
        </is>
      </c>
      <c r="B3" t="inlineStr">
        <is>
          <t>2026/09/02</t>
        </is>
      </c>
      <c r="C3" t="inlineStr">
        <is>
          <t>Mouse</t>
        </is>
      </c>
      <c r="D3" t="inlineStr">
        <is>
          <t xml:space="preserve"> south </t>
        </is>
      </c>
      <c r="E3" t="inlineStr">
        <is>
          <t>Bala</t>
        </is>
      </c>
      <c r="F3" t="inlineStr">
        <is>
          <t xml:space="preserve"> 1200</t>
        </is>
      </c>
      <c r="G3" t="inlineStr">
        <is>
          <t xml:space="preserve"> 3</t>
        </is>
      </c>
      <c r="H3" t="inlineStr">
        <is>
          <t xml:space="preserve">3600 </t>
        </is>
      </c>
    </row>
    <row r="4">
      <c r="A4" t="inlineStr">
        <is>
          <t>2003</t>
        </is>
      </c>
      <c r="B4" t="inlineStr">
        <is>
          <t xml:space="preserve">2026/09/03 </t>
        </is>
      </c>
      <c r="C4" t="inlineStr">
        <is>
          <t xml:space="preserve"> keyboard </t>
        </is>
      </c>
      <c r="D4" t="inlineStr">
        <is>
          <t>East</t>
        </is>
      </c>
      <c r="E4" t="inlineStr">
        <is>
          <t xml:space="preserve"> Charan </t>
        </is>
      </c>
      <c r="F4" t="inlineStr">
        <is>
          <t>2500</t>
        </is>
      </c>
      <c r="G4" t="inlineStr">
        <is>
          <t>2</t>
        </is>
      </c>
      <c r="H4" t="inlineStr">
        <is>
          <t>5000</t>
        </is>
      </c>
    </row>
    <row r="5">
      <c r="A5" t="inlineStr">
        <is>
          <t>2004</t>
        </is>
      </c>
      <c r="B5" t="inlineStr">
        <is>
          <t>2026/09/04</t>
        </is>
      </c>
      <c r="C5" t="inlineStr">
        <is>
          <t xml:space="preserve">Monitor </t>
        </is>
      </c>
      <c r="D5" t="inlineStr">
        <is>
          <t xml:space="preserve"> west</t>
        </is>
      </c>
      <c r="E5" t="inlineStr">
        <is>
          <t>Divya</t>
        </is>
      </c>
      <c r="F5" t="inlineStr">
        <is>
          <t xml:space="preserve">18000 </t>
        </is>
      </c>
      <c r="G5" t="inlineStr">
        <is>
          <t>1</t>
        </is>
      </c>
      <c r="H5" t="inlineStr">
        <is>
          <t>18000</t>
        </is>
      </c>
    </row>
    <row r="8">
      <c r="A8" t="inlineStr">
        <is>
          <t>Power Query goal: remove leading/trailing spaces, standardize case, set Date/Number data types, and load the cleaned table.</t>
        </is>
      </c>
    </row>
  </sheetData>
  <mergeCells count="1">
    <mergeCell ref="A8:H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7" t="inlineStr">
        <is>
          <t>Power Query – Step-by-Step</t>
        </is>
      </c>
    </row>
    <row r="3">
      <c r="A3" t="inlineStr">
        <is>
          <t>1. Select the Raw_CSV data → Data → From Table/Range.</t>
        </is>
      </c>
    </row>
    <row r="4">
      <c r="A4" t="inlineStr">
        <is>
          <t>2. In Power Query, check that 'My table has headers' is selected.</t>
        </is>
      </c>
    </row>
    <row r="5">
      <c r="A5" t="inlineStr">
        <is>
          <t>3. Select text columns (Sale_ID, Category, Region, Salesperson) → Transform → Format → Trim.</t>
        </is>
      </c>
    </row>
    <row r="6">
      <c r="A6" t="inlineStr">
        <is>
          <t>4. For Category/Region, use Transform → Format → UPPERCASE or Proper Case, depending on the standard you want.</t>
        </is>
      </c>
    </row>
    <row r="7">
      <c r="A7" t="inlineStr">
        <is>
          <t>5. Set Date to Date type; Unit_Price, Quantity and Sales to Whole Number/Decimal Number as appropriate.</t>
        </is>
      </c>
    </row>
    <row r="8">
      <c r="A8" t="inlineStr">
        <is>
          <t>6. Remove blank rows or duplicate records if they exist.</t>
        </is>
      </c>
    </row>
    <row r="9">
      <c r="A9" t="inlineStr">
        <is>
          <t>7. Rename the query to Clean_Sales.</t>
        </is>
      </c>
    </row>
    <row r="10">
      <c r="A10" t="inlineStr">
        <is>
          <t>8. Home → Close &amp; Load → load the cleaned data to a new worksheet.</t>
        </is>
      </c>
    </row>
    <row r="13">
      <c r="A13" s="2" t="inlineStr">
        <is>
          <t>Expected cleaned sample</t>
        </is>
      </c>
    </row>
    <row r="14">
      <c r="A14" s="3" t="inlineStr">
        <is>
          <t>Sale_ID</t>
        </is>
      </c>
      <c r="B14" s="3" t="inlineStr">
        <is>
          <t>Date</t>
        </is>
      </c>
      <c r="C14" s="3" t="inlineStr">
        <is>
          <t>Category</t>
        </is>
      </c>
      <c r="D14" s="3" t="inlineStr">
        <is>
          <t>Region</t>
        </is>
      </c>
      <c r="E14" s="3" t="inlineStr">
        <is>
          <t>Salesperson</t>
        </is>
      </c>
      <c r="F14" s="3" t="inlineStr">
        <is>
          <t>Unit_Price</t>
        </is>
      </c>
      <c r="G14" s="3" t="inlineStr">
        <is>
          <t>Quantity</t>
        </is>
      </c>
      <c r="H14" s="3" t="inlineStr">
        <is>
          <t>Sales</t>
        </is>
      </c>
    </row>
    <row r="15">
      <c r="A15" t="n">
        <v>2001</v>
      </c>
      <c r="B15" t="inlineStr">
        <is>
          <t>2026-09-01</t>
        </is>
      </c>
      <c r="C15" t="inlineStr">
        <is>
          <t>Laptop</t>
        </is>
      </c>
      <c r="D15" t="inlineStr">
        <is>
          <t>North</t>
        </is>
      </c>
      <c r="E15" t="inlineStr">
        <is>
          <t>Anu</t>
        </is>
      </c>
      <c r="F15" t="n">
        <v>65000</v>
      </c>
      <c r="G15" t="n">
        <v>1</v>
      </c>
      <c r="H15" t="n">
        <v>65000</v>
      </c>
    </row>
    <row r="16">
      <c r="A16" t="n">
        <v>2002</v>
      </c>
      <c r="B16" t="inlineStr">
        <is>
          <t>2026-09-02</t>
        </is>
      </c>
      <c r="C16" t="inlineStr">
        <is>
          <t>Mouse</t>
        </is>
      </c>
      <c r="D16" t="inlineStr">
        <is>
          <t>South</t>
        </is>
      </c>
      <c r="E16" t="inlineStr">
        <is>
          <t>Bala</t>
        </is>
      </c>
      <c r="F16" t="n">
        <v>1200</v>
      </c>
      <c r="G16" t="n">
        <v>3</v>
      </c>
      <c r="H16" t="n">
        <v>3600</v>
      </c>
    </row>
    <row r="17">
      <c r="A17" t="n">
        <v>2003</v>
      </c>
      <c r="B17" t="inlineStr">
        <is>
          <t>2026-09-03</t>
        </is>
      </c>
      <c r="C17" t="inlineStr">
        <is>
          <t>Keyboard</t>
        </is>
      </c>
      <c r="D17" t="inlineStr">
        <is>
          <t>East</t>
        </is>
      </c>
      <c r="E17" t="inlineStr">
        <is>
          <t>Charan</t>
        </is>
      </c>
      <c r="F17" t="n">
        <v>2500</v>
      </c>
      <c r="G17" t="n">
        <v>2</v>
      </c>
      <c r="H17" t="n">
        <v>5000</v>
      </c>
    </row>
    <row r="18">
      <c r="A18" t="n">
        <v>2004</v>
      </c>
      <c r="B18" t="inlineStr">
        <is>
          <t>2026-09-04</t>
        </is>
      </c>
      <c r="C18" t="inlineStr">
        <is>
          <t>Monitor</t>
        </is>
      </c>
      <c r="D18" t="inlineStr">
        <is>
          <t>West</t>
        </is>
      </c>
      <c r="E18" t="inlineStr">
        <is>
          <t>Divya</t>
        </is>
      </c>
      <c r="F18" t="n">
        <v>18000</v>
      </c>
      <c r="G18" t="n">
        <v>1</v>
      </c>
      <c r="H18" t="n">
        <v>18000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2" customWidth="1" min="4" max="4"/>
  </cols>
  <sheetData>
    <row r="1">
      <c r="A1" s="7" t="inlineStr">
        <is>
          <t>What to say when mentor asks you to explain</t>
        </is>
      </c>
    </row>
    <row r="3">
      <c r="A3" s="2" t="inlineStr">
        <is>
          <t>VLOOKUP</t>
        </is>
      </c>
      <c r="B3" t="inlineStr">
        <is>
          <t>Looks for a value in the first column of a table and returns a value from a column to the right.</t>
        </is>
      </c>
    </row>
    <row r="4">
      <c r="A4" s="2" t="inlineStr">
        <is>
          <t>XLOOKUP</t>
        </is>
      </c>
      <c r="B4" t="inlineStr">
        <is>
          <t>A newer lookup function. It can look left or right and lets us specify what to show if no match is found.</t>
        </is>
      </c>
    </row>
    <row r="5">
      <c r="A5" s="2" t="inlineStr">
        <is>
          <t>INDEX-MATCH</t>
        </is>
      </c>
      <c r="B5" t="inlineStr">
        <is>
          <t>MATCH finds the row position; INDEX returns the value from that position. It is flexible for two-way lookups.</t>
        </is>
      </c>
    </row>
    <row r="6">
      <c r="A6" s="2" t="inlineStr">
        <is>
          <t>IF / IFS</t>
        </is>
      </c>
      <c r="B6" t="inlineStr">
        <is>
          <t>Used to apply business rules, such as High/Normal sales. IFS is useful when there are several conditions.</t>
        </is>
      </c>
    </row>
    <row r="7">
      <c r="A7" s="2" t="inlineStr">
        <is>
          <t>SUMIFS</t>
        </is>
      </c>
      <c r="B7" t="inlineStr">
        <is>
          <t>Adds numbers only when one or more conditions are satisfied.</t>
        </is>
      </c>
    </row>
    <row r="8">
      <c r="A8" s="2" t="inlineStr">
        <is>
          <t>COUNTIFS</t>
        </is>
      </c>
      <c r="B8" t="inlineStr">
        <is>
          <t>Counts rows only when one or more conditions are satisfied.</t>
        </is>
      </c>
    </row>
    <row r="9">
      <c r="A9" s="2" t="inlineStr">
        <is>
          <t>PivotTable</t>
        </is>
      </c>
      <c r="B9" t="inlineStr">
        <is>
          <t>Quickly summarizes a large table by grouping fields into Rows, Columns, Values and Filters.</t>
        </is>
      </c>
    </row>
    <row r="10">
      <c r="A10" s="2" t="inlineStr">
        <is>
          <t>Power Query</t>
        </is>
      </c>
      <c r="B10" t="inlineStr">
        <is>
          <t>Imports and cleans data using repeatable transformation steps. It is useful for messy CSV files.</t>
        </is>
      </c>
    </row>
    <row r="11">
      <c r="A11" s="2" t="inlineStr">
        <is>
          <t>KPI</t>
        </is>
      </c>
      <c r="B11" t="inlineStr">
        <is>
          <t>A key performance indicator. In this task: total sales, average order value, and percentage growth.</t>
        </is>
      </c>
    </row>
  </sheetData>
  <mergeCells count="9">
    <mergeCell ref="B10:D10"/>
    <mergeCell ref="B11:D1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2026-09-30T06:23:45Z</dcterms:created>
  <dcterms:modified xmlns:dcterms="http://purl.org/dc/terms/" xmlns:xsi="http://www.w3.org/2001/XMLSchema-instance" xsi:type="dcterms:W3CDTF">2026-09-30T06:24:02Z</dcterms:modified>
</cp:coreProperties>
</file>